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probabilidad" sheetId="1" state="visible" r:id="rId3"/>
    <sheet name="Escalas" sheetId="2" state="visible" r:id="rId4"/>
    <sheet name="Registro de riesg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<sst xmlns="http://schemas.openxmlformats.org/spreadsheetml/2006/main" count="249" uniqueCount="149">
  <si>
    <t xml:space="preserve">Matriz de la probabilidad de los riesgos — RideU</t>
  </si>
  <si>
    <t xml:space="preserve">Factores del riesgo (Probabilidad × Impacto)</t>
  </si>
  <si>
    <t xml:space="preserve">FACTOR DEL RIESGO (PROBABILIDAD X IMPACTO)</t>
  </si>
  <si>
    <t xml:space="preserve">Probabilidad de Ocurrencia</t>
  </si>
  <si>
    <t xml:space="preserve">Impacto</t>
  </si>
  <si>
    <t xml:space="preserve">Muy Alto</t>
  </si>
  <si>
    <t xml:space="preserve">Alto</t>
  </si>
  <si>
    <t xml:space="preserve">Moderado</t>
  </si>
  <si>
    <t xml:space="preserve">Bajo</t>
  </si>
  <si>
    <t xml:space="preserve">Muy Bajo</t>
  </si>
  <si>
    <t xml:space="preserve">UBICACIÓN DE LOS RIESGOS DE RIDEU EN LA MATRIZ</t>
  </si>
  <si>
    <t xml:space="preserve">R05, R08</t>
  </si>
  <si>
    <t xml:space="preserve">R01</t>
  </si>
  <si>
    <t xml:space="preserve">R12, R13, R14</t>
  </si>
  <si>
    <t xml:space="preserve">R03, R04</t>
  </si>
  <si>
    <t xml:space="preserve">R02</t>
  </si>
  <si>
    <t xml:space="preserve">R11</t>
  </si>
  <si>
    <t xml:space="preserve">R06, R07</t>
  </si>
  <si>
    <t xml:space="preserve">R09</t>
  </si>
  <si>
    <t xml:space="preserve">R10</t>
  </si>
  <si>
    <t xml:space="preserve">Esta segunda matriz ubica cada riesgo del «Registro de riesgos» según su probabilidad e impacto. Si se cambia la valoración de un riesgo, hay que moverlo aquí.</t>
  </si>
  <si>
    <t xml:space="preserve">RideU — Escalas de probabilidad e impacto</t>
  </si>
  <si>
    <t xml:space="preserve">Calibradas al MVP: 12 semanas (60 días hábiles), 11 historias de usuario en 5 épicas.</t>
  </si>
  <si>
    <t xml:space="preserve">1. Escala de probabilidad de ocurrencia</t>
  </si>
  <si>
    <t xml:space="preserve">Nivel</t>
  </si>
  <si>
    <t xml:space="preserve">Probabilidad</t>
  </si>
  <si>
    <t xml:space="preserve">Criterio para RideU</t>
  </si>
  <si>
    <t xml:space="preserve">Casi seguro que ocurra; ya hay señales de que está ocurriendo.</t>
  </si>
  <si>
    <t xml:space="preserve">Es probable que ocurra en la mayoría de los sprints.</t>
  </si>
  <si>
    <t xml:space="preserve">Puede ocurrir en alguno de los sprints; hay antecedentes en proyectos académicos similares.</t>
  </si>
  <si>
    <t xml:space="preserve">Puede ocurrir una vez durante las 12 semanas del proyecto.</t>
  </si>
  <si>
    <t xml:space="preserve">Muy improbable; solo ocurriría en circunstancias excepcionales.</t>
  </si>
  <si>
    <t xml:space="preserve">2. Escala de impacto</t>
  </si>
  <si>
    <t xml:space="preserve">Cronograma (60 días hábiles)</t>
  </si>
  <si>
    <t xml:space="preserve">Alcance y calidad del MVP</t>
  </si>
  <si>
    <t xml:space="preserve">Retraso menor a 1 día hábil.</t>
  </si>
  <si>
    <t xml:space="preserve">Sin efecto en el alcance; se corrige dentro de la misma tarea.</t>
  </si>
  <si>
    <t xml:space="preserve">Retraso de 1 a 2 días hábiles.</t>
  </si>
  <si>
    <t xml:space="preserve">Afecta una tarea; los criterios de aceptación se cumplen dentro del sprint.</t>
  </si>
  <si>
    <t xml:space="preserve">Retraso de 3 a 5 días hábiles.</t>
  </si>
  <si>
    <t xml:space="preserve">Una HU pasa al siguiente sprint o un criterio de aceptación queda pendiente.</t>
  </si>
  <si>
    <t xml:space="preserve">Retraso de 6 a 10 días hábiles.</t>
  </si>
  <si>
    <t xml:space="preserve">Una épica no se completa en su sprint y se compromete una entrega parcial.</t>
  </si>
  <si>
    <t xml:space="preserve">Retraso mayor a 10 días hábiles sobre el plazo de 60.</t>
  </si>
  <si>
    <t xml:space="preserve">Una funcionalidad núcleo (autenticación o reservas) no opera en la entrega del MVP.</t>
  </si>
  <si>
    <t xml:space="preserve">Zonas del factor de riesgo (Probabilidad × Impacto)</t>
  </si>
  <si>
    <t xml:space="preserve">Zona</t>
  </si>
  <si>
    <t xml:space="preserve">Rango</t>
  </si>
  <si>
    <t xml:space="preserve">Color</t>
  </si>
  <si>
    <t xml:space="preserve">Tratamiento</t>
  </si>
  <si>
    <t xml:space="preserve">Hasta 5%</t>
  </si>
  <si>
    <t xml:space="preserve">Aceptar y monitorear en la revisión de cada sprint.</t>
  </si>
  <si>
    <t xml:space="preserve">Medio</t>
  </si>
  <si>
    <t xml:space="preserve">Mayor a 5% y menor a 18%</t>
  </si>
  <si>
    <t xml:space="preserve">Mitigar con acciones planificadas dentro del sprint.</t>
  </si>
  <si>
    <t xml:space="preserve">Desde 18%</t>
  </si>
  <si>
    <t xml:space="preserve">Plan de respuesta inmediato y seguimiento en cada reunión del equipo.</t>
  </si>
  <si>
    <t xml:space="preserve">RideU — Registro y valoración de riesgos</t>
  </si>
  <si>
    <t xml:space="preserve">Probabilidad e Impacto se eligen de la lista; los porcentajes, el factor y la zona se calculan solos.</t>
  </si>
  <si>
    <t xml:space="preserve">ID</t>
  </si>
  <si>
    <t xml:space="preserve">Categoría</t>
  </si>
  <si>
    <t xml:space="preserve">Riesgo</t>
  </si>
  <si>
    <t xml:space="preserve">Épica / HU afectada</t>
  </si>
  <si>
    <t xml:space="preserve">P (%)</t>
  </si>
  <si>
    <t xml:space="preserve">I (%)</t>
  </si>
  <si>
    <t xml:space="preserve">Factor (P×I)</t>
  </si>
  <si>
    <t xml:space="preserve">Estrategia</t>
  </si>
  <si>
    <t xml:space="preserve">Acción de respuesta</t>
  </si>
  <si>
    <t xml:space="preserve">Responsable</t>
  </si>
  <si>
    <t xml:space="preserve">Señal de alerta</t>
  </si>
  <si>
    <t xml:space="preserve">Cronograma</t>
  </si>
  <si>
    <t xml:space="preserve">La carga académica de otras asignaturas reduce las horas disponibles del equipo y retrasa las tareas de los sprints.</t>
  </si>
  <si>
    <t xml:space="preserve">Todo el proyecto</t>
  </si>
  <si>
    <t xml:space="preserve">Mitigar</t>
  </si>
  <si>
    <t xml:space="preserve">Planificar cada sprint con las horas reales de cada integrante y dejar holgura en semanas de parciales.</t>
  </si>
  <si>
    <t xml:space="preserve">Jancer Camilo Chamorro Caicedo</t>
  </si>
  <si>
    <t xml:space="preserve">Más de dos tareas del sprint sin iniciar a mitad del sprint.</t>
  </si>
  <si>
    <t xml:space="preserve">Técnico</t>
  </si>
  <si>
    <t xml:space="preserve">Dos pasajeros reservan el último cupo al mismo tiempo y el sistema registra ambas reservas (sobre-reserva).</t>
  </si>
  <si>
    <t xml:space="preserve">E04 / HU07</t>
  </si>
  <si>
    <t xml:space="preserve">Reserva dentro de una transacción con bloqueo de fila en PostgreSQL y restricción de cupos no negativos; probar con dos sesiones simultáneas.</t>
  </si>
  <si>
    <t xml:space="preserve">José Manuel Barrera Diago</t>
  </si>
  <si>
    <t xml:space="preserve">Falla el caso de prueba de concurrencia de HU07 o aparecen cupos negativos.</t>
  </si>
  <si>
    <t xml:space="preserve">R03</t>
  </si>
  <si>
    <t xml:space="preserve">El correo de verificación no llega o cae en spam en los buzones @unicauca.edu.co y los usuarios no activan su cuenta.</t>
  </si>
  <si>
    <t xml:space="preserve">E01 / HU01</t>
  </si>
  <si>
    <t xml:space="preserve">Usar un servicio de envío transaccional configurado y probar desde el sprint 1 con cuentas reales del equipo.</t>
  </si>
  <si>
    <t xml:space="preserve">Juan Sebastián Meneses Palta</t>
  </si>
  <si>
    <t xml:space="preserve">Usuarios de prueba no reciben el correo en los primeros minutos.</t>
  </si>
  <si>
    <t xml:space="preserve">R04</t>
  </si>
  <si>
    <t xml:space="preserve">Equipo</t>
  </si>
  <si>
    <t xml:space="preserve">La curva de aprendizaje de JWT, bcrypt y Zod/Joi retrasa la épica de autenticación.</t>
  </si>
  <si>
    <t xml:space="preserve">E01 / HU01, HU02</t>
  </si>
  <si>
    <t xml:space="preserve">Prueba de concepto de autenticación al inicio del sprint 1, antes de implementar HU02.</t>
  </si>
  <si>
    <t xml:space="preserve">HU02 supera su estimación en más de un día.</t>
  </si>
  <si>
    <t xml:space="preserve">R05</t>
  </si>
  <si>
    <t xml:space="preserve">Alcance</t>
  </si>
  <si>
    <t xml:space="preserve">El docente evaluador solicita nuevos ajustes a historias o criterios durante el proyecto.</t>
  </si>
  <si>
    <t xml:space="preserve">Backlog completo</t>
  </si>
  <si>
    <t xml:space="preserve">Registrar cada cambio en el backlog con su trazabilidad y planificarlo en el siguiente sprint, sin alterar el sprint en curso.</t>
  </si>
  <si>
    <t xml:space="preserve">Llega retroalimentación que modifica HU ya aprobadas.</t>
  </si>
  <si>
    <t xml:space="preserve">R06</t>
  </si>
  <si>
    <t xml:space="preserve">Ausencia prolongada de un integrante; los roles de Tester y Analista dependen de una sola persona.</t>
  </si>
  <si>
    <t xml:space="preserve">Mantener casos de prueba y criterios en el repositorio compartido y asignar un respaldo para cada rol.</t>
  </si>
  <si>
    <t xml:space="preserve">José Manuel Chávez Guancha</t>
  </si>
  <si>
    <t xml:space="preserve">Un integrante falta a dos reuniones seguidas.</t>
  </si>
  <si>
    <t xml:space="preserve">R07</t>
  </si>
  <si>
    <t xml:space="preserve">Integración</t>
  </si>
  <si>
    <t xml:space="preserve">La integración frontend–backend se deja para el final y acumula defectos en la fase 1.7.</t>
  </si>
  <si>
    <t xml:space="preserve">Todas las épicas</t>
  </si>
  <si>
    <t xml:space="preserve">Definir el contrato de la API al inicio e integrar cada HU al cierre de su sprint (pruebas por módulo desde la semana 2).</t>
  </si>
  <si>
    <t xml:space="preserve">Al cierre de un sprint hay HU terminadas en backend sin vista integrada.</t>
  </si>
  <si>
    <t xml:space="preserve">R08</t>
  </si>
  <si>
    <t xml:space="preserve">Seguridad</t>
  </si>
  <si>
    <t xml:space="preserve">Los datos de vehículo y licencia son autodeclarados y un usuario registra información falsa.</t>
  </si>
  <si>
    <t xml:space="preserve">E02 / HU03</t>
  </si>
  <si>
    <t xml:space="preserve">Aceptar</t>
  </si>
  <si>
    <t xml:space="preserve">Validar formato de placa y vigencia de la licencia; la verificación ante el RUNT queda fuera del MVP y se declara en los términos de uso.</t>
  </si>
  <si>
    <t xml:space="preserve">Placas repetidas o datos de licencia inconsistentes en la base de datos.</t>
  </si>
  <si>
    <t xml:space="preserve">Despliegue</t>
  </si>
  <si>
    <t xml:space="preserve">Falla el despliegue del MVP en las semanas finales (límites del hosting, variables de entorno, base de datos remota).</t>
  </si>
  <si>
    <t xml:space="preserve">Fase 1.8</t>
  </si>
  <si>
    <t xml:space="preserve">Desplegar una versión de prueba desde el sprint 2 y al cierre de cada sprint; mantener un ambiente local de demostración como contingencia.</t>
  </si>
  <si>
    <t xml:space="preserve">Falla el despliegue de prueba o la base de datos remota no responde.</t>
  </si>
  <si>
    <t xml:space="preserve">Pérdida de código o conflictos graves en el repositorio.</t>
  </si>
  <si>
    <t xml:space="preserve">Una rama por HU, pull requests revisados y rama principal protegida.</t>
  </si>
  <si>
    <t xml:space="preserve">Conflictos de fusión repetidos en la rama principal.</t>
  </si>
  <si>
    <t xml:space="preserve">Legal</t>
  </si>
  <si>
    <t xml:space="preserve">Se exponen datos personales (teléfono, correo) sin autorización, en contra de la Ley 1581 de 2012.</t>
  </si>
  <si>
    <t xml:space="preserve">E05 / HU10, HU11</t>
  </si>
  <si>
    <t xml:space="preserve">Pedir autorización de tratamiento de datos en el registro y mostrar el teléfono solo con reserva confirmada.</t>
  </si>
  <si>
    <t xml:space="preserve">Un teléfono queda visible para un usuario sin reserva confirmada.</t>
  </si>
  <si>
    <t xml:space="preserve">R12</t>
  </si>
  <si>
    <t xml:space="preserve">Calidad</t>
  </si>
  <si>
    <t xml:space="preserve">Backlog, historias, casos de prueba y paths quedan inconsistentes y las pruebas no corresponden a lo implementado.</t>
  </si>
  <si>
    <t xml:space="preserve">Mantener la matriz de trazabilidad HU–CA–CP–path y revisarla al inicio de cada sprint.</t>
  </si>
  <si>
    <t xml:space="preserve">Un caso de prueba cita un path o botón que no existe en la HU.</t>
  </si>
  <si>
    <t xml:space="preserve">R13</t>
  </si>
  <si>
    <t xml:space="preserve">El número de WhatsApp registrado es inválido y no se puede coordinar el punto de encuentro.</t>
  </si>
  <si>
    <t xml:space="preserve">Validar el formato del número al registrarlo y mostrar el mensaje alternativo definido en los criterios.</t>
  </si>
  <si>
    <t xml:space="preserve">Más de un número inválido en las pruebas.</t>
  </si>
  <si>
    <t xml:space="preserve">R14</t>
  </si>
  <si>
    <t xml:space="preserve">Negocio</t>
  </si>
  <si>
    <t xml:space="preserve">Pocos trayectos publicados durante las pruebas con usuarios impiden validar búsqueda y reserva.</t>
  </si>
  <si>
    <t xml:space="preserve">E03, E04</t>
  </si>
  <si>
    <t xml:space="preserve">Cargar datos de prueba con trayectos y sedes reales (Tulcán, Centro, FIET) antes de cada prueba.</t>
  </si>
  <si>
    <t xml:space="preserve">Menos de cinco trayectos activos en el ambiente de pruebas.</t>
  </si>
  <si>
    <t xml:space="preserve">Resumen por zona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</si>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</sst>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5FD6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BFBFBF"/>
      </patternFill>
    </fill>
    <fill>
      <patternFill patternType="solid">
        <fgColor rgb="FF33CC33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1F5FD6"/>
        <bgColor rgb="FF336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/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33CC3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1F5FD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CC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8" min="4" style="0" width="13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1.75" hidden="false" customHeight="true" outlineLevel="0" collapsed="false">
      <c r="D4" s="3" t="s">
        <v>2</v>
      </c>
      <c r="E4" s="3"/>
      <c r="F4" s="3"/>
      <c r="G4" s="3"/>
      <c r="H4" s="3"/>
    </row>
    <row r="5" customFormat="false" ht="23.85" hidden="false" customHeight="true" outlineLevel="0" collapsed="false">
      <c r="B5" s="4" t="s">
        <v>3</v>
      </c>
      <c r="C5" s="4"/>
      <c r="D5" s="4" t="s">
        <v>4</v>
      </c>
      <c r="E5" s="4"/>
      <c r="F5" s="4"/>
      <c r="G5" s="4"/>
      <c r="H5" s="4"/>
    </row>
    <row r="6" customFormat="false" ht="30" hidden="false" customHeight="true" outlineLevel="0" collapsed="false">
      <c r="B6" s="5" t="s">
        <v>5</v>
      </c>
      <c r="C6" s="6" t="n">
        <f aca="false">Escalas!C6</f>
        <v>0.9</v>
      </c>
      <c r="D6" s="7" t="n">
        <f aca="false">$C6*D$11</f>
        <v>0.045</v>
      </c>
      <c r="E6" s="8" t="n">
        <f aca="false">$C6*E$11</f>
        <v>0.09</v>
      </c>
      <c r="F6" s="9" t="n">
        <f aca="false">$C6*F$11</f>
        <v>0.18</v>
      </c>
      <c r="G6" s="9" t="n">
        <f aca="false">$C6*G$11</f>
        <v>0.36</v>
      </c>
      <c r="H6" s="9" t="n">
        <f aca="false">$C6*H$11</f>
        <v>0.72</v>
      </c>
    </row>
    <row r="7" customFormat="false" ht="30" hidden="false" customHeight="true" outlineLevel="0" collapsed="false">
      <c r="B7" s="5" t="s">
        <v>6</v>
      </c>
      <c r="C7" s="6" t="n">
        <f aca="false">Escalas!C7</f>
        <v>0.7</v>
      </c>
      <c r="D7" s="7" t="n">
        <f aca="false">$C7*D$11</f>
        <v>0.035</v>
      </c>
      <c r="E7" s="8" t="n">
        <f aca="false">$C7*E$11</f>
        <v>0.07</v>
      </c>
      <c r="F7" s="8" t="n">
        <f aca="false">$C7*F$11</f>
        <v>0.14</v>
      </c>
      <c r="G7" s="9" t="n">
        <f aca="false">$C7*G$11</f>
        <v>0.28</v>
      </c>
      <c r="H7" s="9" t="n">
        <f aca="false">$C7*H$11</f>
        <v>0.56</v>
      </c>
    </row>
    <row r="8" customFormat="false" ht="30" hidden="false" customHeight="true" outlineLevel="0" collapsed="false">
      <c r="B8" s="5" t="s">
        <v>7</v>
      </c>
      <c r="C8" s="6" t="n">
        <f aca="false">Escalas!C8</f>
        <v>0.5</v>
      </c>
      <c r="D8" s="7" t="n">
        <f aca="false">$C8*D$11</f>
        <v>0.025</v>
      </c>
      <c r="E8" s="7" t="n">
        <f aca="false">$C8*E$11</f>
        <v>0.05</v>
      </c>
      <c r="F8" s="8" t="n">
        <f aca="false">$C8*F$11</f>
        <v>0.1</v>
      </c>
      <c r="G8" s="9" t="n">
        <f aca="false">$C8*G$11</f>
        <v>0.2</v>
      </c>
      <c r="H8" s="9" t="n">
        <f aca="false">$C8*H$11</f>
        <v>0.4</v>
      </c>
    </row>
    <row r="9" customFormat="false" ht="30" hidden="false" customHeight="true" outlineLevel="0" collapsed="false">
      <c r="B9" s="5" t="s">
        <v>8</v>
      </c>
      <c r="C9" s="6" t="n">
        <f aca="false">Escalas!C9</f>
        <v>0.3</v>
      </c>
      <c r="D9" s="7" t="n">
        <f aca="false">$C9*D$11</f>
        <v>0.015</v>
      </c>
      <c r="E9" s="7" t="n">
        <f aca="false">$C9*E$11</f>
        <v>0.03</v>
      </c>
      <c r="F9" s="8" t="n">
        <f aca="false">$C9*F$11</f>
        <v>0.06</v>
      </c>
      <c r="G9" s="8" t="n">
        <f aca="false">$C9*G$11</f>
        <v>0.12</v>
      </c>
      <c r="H9" s="9" t="n">
        <f aca="false">$C9*H$11</f>
        <v>0.24</v>
      </c>
    </row>
    <row r="10" customFormat="false" ht="30" hidden="false" customHeight="true" outlineLevel="0" collapsed="false">
      <c r="B10" s="5" t="s">
        <v>9</v>
      </c>
      <c r="C10" s="6" t="n">
        <f aca="false">Escalas!C10</f>
        <v>0.1</v>
      </c>
      <c r="D10" s="7" t="n">
        <f aca="false">$C10*D$11</f>
        <v>0.005</v>
      </c>
      <c r="E10" s="7" t="n">
        <f aca="false">$C10*E$11</f>
        <v>0.01</v>
      </c>
      <c r="F10" s="7" t="n">
        <f aca="false">$C10*F$11</f>
        <v>0.02</v>
      </c>
      <c r="G10" s="7" t="n">
        <f aca="false">$C10*G$11</f>
        <v>0.04</v>
      </c>
      <c r="H10" s="8" t="n">
        <f aca="false">$C10*H$11</f>
        <v>0.08</v>
      </c>
    </row>
    <row r="11" customFormat="false" ht="15" hidden="false" customHeight="false" outlineLevel="0" collapsed="false">
      <c r="D11" s="10" t="n">
        <f aca="false">Escalas!C15</f>
        <v>0.05</v>
      </c>
      <c r="E11" s="10" t="n">
        <f aca="false">Escalas!C16</f>
        <v>0.1</v>
      </c>
      <c r="F11" s="10" t="n">
        <f aca="false">Escalas!C17</f>
        <v>0.2</v>
      </c>
      <c r="G11" s="10" t="n">
        <f aca="false">Escalas!C18</f>
        <v>0.4</v>
      </c>
      <c r="H11" s="10" t="n">
        <f aca="false">Escalas!C19</f>
        <v>0.8</v>
      </c>
    </row>
    <row r="12" customFormat="false" ht="15" hidden="false" customHeight="false" outlineLevel="0" collapsed="false">
      <c r="D12" s="4" t="s">
        <v>9</v>
      </c>
      <c r="E12" s="4" t="s">
        <v>8</v>
      </c>
      <c r="F12" s="4" t="s">
        <v>7</v>
      </c>
      <c r="G12" s="4" t="s">
        <v>6</v>
      </c>
      <c r="H12" s="4" t="s">
        <v>5</v>
      </c>
    </row>
    <row r="15" customFormat="false" ht="15" hidden="false" customHeight="true" outlineLevel="0" collapsed="false">
      <c r="D15" s="3" t="s">
        <v>10</v>
      </c>
      <c r="E15" s="3"/>
      <c r="F15" s="3"/>
      <c r="G15" s="3"/>
      <c r="H15" s="3"/>
    </row>
    <row r="16" customFormat="false" ht="23.85" hidden="false" customHeight="true" outlineLevel="0" collapsed="false">
      <c r="B16" s="4" t="s">
        <v>3</v>
      </c>
      <c r="C16" s="4"/>
      <c r="D16" s="4" t="s">
        <v>4</v>
      </c>
      <c r="E16" s="4"/>
      <c r="F16" s="4"/>
      <c r="G16" s="4"/>
      <c r="H16" s="4"/>
    </row>
    <row r="17" customFormat="false" ht="39.75" hidden="false" customHeight="true" outlineLevel="0" collapsed="false">
      <c r="B17" s="5" t="s">
        <v>5</v>
      </c>
      <c r="C17" s="6" t="n">
        <f aca="false">Escalas!C6</f>
        <v>0.9</v>
      </c>
      <c r="D17" s="11"/>
      <c r="E17" s="12"/>
      <c r="F17" s="13"/>
      <c r="G17" s="13"/>
      <c r="H17" s="13"/>
    </row>
    <row r="18" customFormat="false" ht="39.75" hidden="false" customHeight="true" outlineLevel="0" collapsed="false">
      <c r="B18" s="5" t="s">
        <v>6</v>
      </c>
      <c r="C18" s="6" t="n">
        <f aca="false">Escalas!C7</f>
        <v>0.7</v>
      </c>
      <c r="D18" s="11"/>
      <c r="E18" s="12"/>
      <c r="F18" s="12" t="s">
        <v>11</v>
      </c>
      <c r="G18" s="13" t="s">
        <v>12</v>
      </c>
      <c r="H18" s="13"/>
    </row>
    <row r="19" customFormat="false" ht="39.75" hidden="false" customHeight="true" outlineLevel="0" collapsed="false">
      <c r="B19" s="5" t="s">
        <v>7</v>
      </c>
      <c r="C19" s="6" t="n">
        <f aca="false">Escalas!C8</f>
        <v>0.5</v>
      </c>
      <c r="D19" s="11"/>
      <c r="E19" s="11" t="s">
        <v>13</v>
      </c>
      <c r="F19" s="12" t="s">
        <v>14</v>
      </c>
      <c r="G19" s="13" t="s">
        <v>15</v>
      </c>
      <c r="H19" s="13"/>
    </row>
    <row r="20" customFormat="false" ht="39.75" hidden="false" customHeight="true" outlineLevel="0" collapsed="false">
      <c r="B20" s="5" t="s">
        <v>8</v>
      </c>
      <c r="C20" s="6" t="n">
        <f aca="false">Escalas!C9</f>
        <v>0.3</v>
      </c>
      <c r="D20" s="11"/>
      <c r="E20" s="11"/>
      <c r="F20" s="12" t="s">
        <v>16</v>
      </c>
      <c r="G20" s="12" t="s">
        <v>17</v>
      </c>
      <c r="H20" s="13" t="s">
        <v>18</v>
      </c>
    </row>
    <row r="21" customFormat="false" ht="39.75" hidden="false" customHeight="true" outlineLevel="0" collapsed="false">
      <c r="B21" s="5" t="s">
        <v>9</v>
      </c>
      <c r="C21" s="6" t="n">
        <f aca="false">Escalas!C10</f>
        <v>0.1</v>
      </c>
      <c r="D21" s="11"/>
      <c r="E21" s="11"/>
      <c r="F21" s="11"/>
      <c r="G21" s="11"/>
      <c r="H21" s="12" t="s">
        <v>19</v>
      </c>
    </row>
    <row r="22" customFormat="false" ht="15" hidden="false" customHeight="false" outlineLevel="0" collapsed="false">
      <c r="D22" s="10" t="n">
        <f aca="false">Escalas!C15</f>
        <v>0.05</v>
      </c>
      <c r="E22" s="10" t="n">
        <f aca="false">Escalas!C16</f>
        <v>0.1</v>
      </c>
      <c r="F22" s="10" t="n">
        <f aca="false">Escalas!C17</f>
        <v>0.2</v>
      </c>
      <c r="G22" s="10" t="n">
        <f aca="false">Escalas!C18</f>
        <v>0.4</v>
      </c>
      <c r="H22" s="10" t="n">
        <f aca="false">Escalas!C19</f>
        <v>0.8</v>
      </c>
    </row>
    <row r="23" customFormat="false" ht="15" hidden="false" customHeight="false" outlineLevel="0" collapsed="false">
      <c r="D23" s="4" t="s">
        <v>9</v>
      </c>
      <c r="E23" s="4" t="s">
        <v>8</v>
      </c>
      <c r="F23" s="4" t="s">
        <v>7</v>
      </c>
      <c r="G23" s="4" t="s">
        <v>6</v>
      </c>
      <c r="H23" s="4" t="s">
        <v>5</v>
      </c>
    </row>
    <row r="25" customFormat="false" ht="15" hidden="false" customHeight="false" outlineLevel="0" collapsed="false">
      <c r="B25" s="14" t="s">
        <v>20</v>
      </c>
    </row>
  </sheetData>
  <mergeCells count="6">
    <mergeCell ref="D4:H4"/>
    <mergeCell ref="B5:C5"/>
    <mergeCell ref="D5:H5"/>
    <mergeCell ref="D15:H15"/>
    <mergeCell ref="B16:C16"/>
    <mergeCell ref="D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8"/>
    <col collapsed="false" customWidth="true" hidden="false" outlineLevel="0" max="5" min="5" style="0" width="52"/>
  </cols>
  <sheetData>
    <row r="1" customFormat="false" ht="16.15" hidden="false" customHeight="false" outlineLevel="0" collapsed="false">
      <c r="B1" s="1" t="s">
        <v>21</v>
      </c>
    </row>
    <row r="2" customFormat="false" ht="15" hidden="false" customHeight="false" outlineLevel="0" collapsed="false">
      <c r="B2" s="14" t="s">
        <v>22</v>
      </c>
    </row>
    <row r="4" customFormat="false" ht="15" hidden="false" customHeight="true" outlineLevel="0" collapsed="false">
      <c r="B4" s="3" t="s">
        <v>23</v>
      </c>
      <c r="C4" s="3"/>
      <c r="D4" s="3"/>
    </row>
    <row r="5" customFormat="false" ht="15" hidden="false" customHeight="false" outlineLevel="0" collapsed="false">
      <c r="B5" s="4" t="s">
        <v>24</v>
      </c>
      <c r="C5" s="4" t="s">
        <v>25</v>
      </c>
      <c r="D5" s="4" t="s">
        <v>26</v>
      </c>
    </row>
    <row r="6" customFormat="false" ht="31.5" hidden="false" customHeight="true" outlineLevel="0" collapsed="false">
      <c r="B6" s="5" t="s">
        <v>5</v>
      </c>
      <c r="C6" s="15" t="n">
        <v>0.9</v>
      </c>
      <c r="D6" s="16" t="s">
        <v>27</v>
      </c>
    </row>
    <row r="7" customFormat="false" ht="31.5" hidden="false" customHeight="true" outlineLevel="0" collapsed="false">
      <c r="B7" s="5" t="s">
        <v>6</v>
      </c>
      <c r="C7" s="15" t="n">
        <v>0.7</v>
      </c>
      <c r="D7" s="16" t="s">
        <v>28</v>
      </c>
    </row>
    <row r="8" customFormat="false" ht="31.5" hidden="false" customHeight="true" outlineLevel="0" collapsed="false">
      <c r="B8" s="5" t="s">
        <v>7</v>
      </c>
      <c r="C8" s="15" t="n">
        <v>0.5</v>
      </c>
      <c r="D8" s="16" t="s">
        <v>29</v>
      </c>
    </row>
    <row r="9" customFormat="false" ht="31.5" hidden="false" customHeight="true" outlineLevel="0" collapsed="false">
      <c r="B9" s="5" t="s">
        <v>8</v>
      </c>
      <c r="C9" s="15" t="n">
        <v>0.3</v>
      </c>
      <c r="D9" s="16" t="s">
        <v>30</v>
      </c>
    </row>
    <row r="10" customFormat="false" ht="31.5" hidden="false" customHeight="true" outlineLevel="0" collapsed="false">
      <c r="B10" s="5" t="s">
        <v>9</v>
      </c>
      <c r="C10" s="15" t="n">
        <v>0.1</v>
      </c>
      <c r="D10" s="16" t="s">
        <v>31</v>
      </c>
    </row>
    <row r="13" customFormat="false" ht="15" hidden="false" customHeight="true" outlineLevel="0" collapsed="false">
      <c r="B13" s="3" t="s">
        <v>32</v>
      </c>
      <c r="C13" s="3"/>
      <c r="D13" s="3"/>
      <c r="E13" s="3"/>
    </row>
    <row r="14" customFormat="false" ht="15" hidden="false" customHeight="false" outlineLevel="0" collapsed="false">
      <c r="B14" s="4" t="s">
        <v>24</v>
      </c>
      <c r="C14" s="4" t="s">
        <v>4</v>
      </c>
      <c r="D14" s="4" t="s">
        <v>33</v>
      </c>
      <c r="E14" s="4" t="s">
        <v>34</v>
      </c>
    </row>
    <row r="15" customFormat="false" ht="31.5" hidden="false" customHeight="true" outlineLevel="0" collapsed="false">
      <c r="B15" s="5" t="s">
        <v>9</v>
      </c>
      <c r="C15" s="15" t="n">
        <v>0.05</v>
      </c>
      <c r="D15" s="16" t="s">
        <v>35</v>
      </c>
      <c r="E15" s="16" t="s">
        <v>36</v>
      </c>
    </row>
    <row r="16" customFormat="false" ht="31.5" hidden="false" customHeight="true" outlineLevel="0" collapsed="false">
      <c r="B16" s="5" t="s">
        <v>8</v>
      </c>
      <c r="C16" s="15" t="n">
        <v>0.1</v>
      </c>
      <c r="D16" s="16" t="s">
        <v>37</v>
      </c>
      <c r="E16" s="16" t="s">
        <v>38</v>
      </c>
    </row>
    <row r="17" customFormat="false" ht="31.5" hidden="false" customHeight="true" outlineLevel="0" collapsed="false">
      <c r="B17" s="5" t="s">
        <v>7</v>
      </c>
      <c r="C17" s="15" t="n">
        <v>0.2</v>
      </c>
      <c r="D17" s="16" t="s">
        <v>39</v>
      </c>
      <c r="E17" s="16" t="s">
        <v>40</v>
      </c>
    </row>
    <row r="18" customFormat="false" ht="31.5" hidden="false" customHeight="true" outlineLevel="0" collapsed="false">
      <c r="B18" s="5" t="s">
        <v>6</v>
      </c>
      <c r="C18" s="15" t="n">
        <v>0.4</v>
      </c>
      <c r="D18" s="16" t="s">
        <v>41</v>
      </c>
      <c r="E18" s="16" t="s">
        <v>42</v>
      </c>
    </row>
    <row r="19" customFormat="false" ht="31.5" hidden="false" customHeight="true" outlineLevel="0" collapsed="false">
      <c r="B19" s="5" t="s">
        <v>5</v>
      </c>
      <c r="C19" s="15" t="n">
        <v>0.8</v>
      </c>
      <c r="D19" s="16" t="s">
        <v>43</v>
      </c>
      <c r="E19" s="16" t="s">
        <v>44</v>
      </c>
    </row>
    <row r="22" customFormat="false" ht="15" hidden="false" customHeight="true" outlineLevel="0" collapsed="false">
      <c r="B22" s="3" t="s">
        <v>45</v>
      </c>
      <c r="C22" s="3"/>
      <c r="D22" s="3"/>
      <c r="E22" s="3"/>
    </row>
    <row r="23" customFormat="false" ht="15" hidden="false" customHeight="false" outlineLevel="0" collapsed="false">
      <c r="B23" s="4" t="s">
        <v>46</v>
      </c>
      <c r="C23" s="4" t="s">
        <v>47</v>
      </c>
      <c r="D23" s="4" t="s">
        <v>48</v>
      </c>
      <c r="E23" s="4" t="s">
        <v>49</v>
      </c>
    </row>
    <row r="24" customFormat="false" ht="31.5" hidden="false" customHeight="true" outlineLevel="0" collapsed="false">
      <c r="B24" s="5" t="s">
        <v>8</v>
      </c>
      <c r="C24" s="17" t="s">
        <v>50</v>
      </c>
      <c r="D24" s="18"/>
      <c r="E24" s="16" t="s">
        <v>51</v>
      </c>
    </row>
    <row r="25" customFormat="false" ht="31.5" hidden="false" customHeight="true" outlineLevel="0" collapsed="false">
      <c r="B25" s="5" t="s">
        <v>52</v>
      </c>
      <c r="C25" s="17" t="s">
        <v>53</v>
      </c>
      <c r="D25" s="19"/>
      <c r="E25" s="16" t="s">
        <v>54</v>
      </c>
    </row>
    <row r="26" customFormat="false" ht="31.5" hidden="false" customHeight="true" outlineLevel="0" collapsed="false">
      <c r="B26" s="5" t="s">
        <v>6</v>
      </c>
      <c r="C26" s="17" t="s">
        <v>55</v>
      </c>
      <c r="D26" s="20"/>
      <c r="E26" s="16" t="s">
        <v>56</v>
      </c>
    </row>
  </sheetData>
  <mergeCells count="3">
    <mergeCell ref="B4:D4"/>
    <mergeCell ref="B13:E13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46"/>
    <col collapsed="false" customWidth="true" hidden="false" outlineLevel="0" max="14" min="14" style="0" width="24"/>
    <col collapsed="false" customWidth="true" hidden="false" outlineLevel="0" max="15" min="15" style="0" width="34"/>
  </cols>
  <sheetData>
    <row r="1" customFormat="false" ht="16.15" hidden="false" customHeight="false" outlineLevel="0" collapsed="false">
      <c r="B1" s="1" t="s">
        <v>57</v>
      </c>
    </row>
    <row r="2" customFormat="false" ht="15" hidden="false" customHeight="false" outlineLevel="0" collapsed="false">
      <c r="B2" s="14" t="s">
        <v>58</v>
      </c>
    </row>
    <row r="4" customFormat="false" ht="23.85" hidden="false" customHeight="false" outlineLevel="0" collapsed="false">
      <c r="B4" s="21" t="s">
        <v>59</v>
      </c>
      <c r="C4" s="21" t="s">
        <v>60</v>
      </c>
      <c r="D4" s="21" t="s">
        <v>61</v>
      </c>
      <c r="E4" s="21" t="s">
        <v>62</v>
      </c>
      <c r="F4" s="21" t="s">
        <v>25</v>
      </c>
      <c r="G4" s="21" t="s">
        <v>63</v>
      </c>
      <c r="H4" s="21" t="s">
        <v>4</v>
      </c>
      <c r="I4" s="21" t="s">
        <v>64</v>
      </c>
      <c r="J4" s="21" t="s">
        <v>65</v>
      </c>
      <c r="K4" s="21" t="s">
        <v>46</v>
      </c>
      <c r="L4" s="21" t="s">
        <v>66</v>
      </c>
      <c r="M4" s="21" t="s">
        <v>67</v>
      </c>
      <c r="N4" s="21" t="s">
        <v>68</v>
      </c>
      <c r="O4" s="21" t="s">
        <v>69</v>
      </c>
    </row>
    <row r="5" customFormat="false" ht="57.75" hidden="false" customHeight="true" outlineLevel="0" collapsed="false">
      <c r="B5" s="22" t="s">
        <v>12</v>
      </c>
      <c r="C5" s="23" t="s">
        <v>70</v>
      </c>
      <c r="D5" s="24" t="s">
        <v>71</v>
      </c>
      <c r="E5" s="24" t="s">
        <v>72</v>
      </c>
      <c r="F5" s="23" t="s">
        <v>6</v>
      </c>
      <c r="G5" s="25" t="n">
        <f aca="false">INDEX(Escalas!$C$6:$C$10,MATCH(F5,Escalas!$B$6:$B$10,0))</f>
        <v>0.7</v>
      </c>
      <c r="H5" s="23" t="s">
        <v>6</v>
      </c>
      <c r="I5" s="25" t="n">
        <f aca="false">INDEX(Escalas!$C$15:$C$19,MATCH(H5,Escalas!$B$15:$B$19,0))</f>
        <v>0.4</v>
      </c>
      <c r="J5" s="26" t="n">
        <f aca="false">G5*I5</f>
        <v>0.28</v>
      </c>
      <c r="K5" s="22" t="str">
        <f aca="false">IF(ROUND(J5,4)&gt;=0.18,"Alto",IF(ROUND(J5,4)&gt;0.05,"Medio","Bajo"))</f>
        <v>Alto</v>
      </c>
      <c r="L5" s="23" t="s">
        <v>73</v>
      </c>
      <c r="M5" s="24" t="s">
        <v>74</v>
      </c>
      <c r="N5" s="24" t="s">
        <v>75</v>
      </c>
      <c r="O5" s="24" t="s">
        <v>76</v>
      </c>
    </row>
    <row r="6" customFormat="false" ht="57.75" hidden="false" customHeight="true" outlineLevel="0" collapsed="false">
      <c r="B6" s="22" t="s">
        <v>15</v>
      </c>
      <c r="C6" s="23" t="s">
        <v>77</v>
      </c>
      <c r="D6" s="24" t="s">
        <v>78</v>
      </c>
      <c r="E6" s="24" t="s">
        <v>79</v>
      </c>
      <c r="F6" s="23" t="s">
        <v>7</v>
      </c>
      <c r="G6" s="25" t="n">
        <f aca="false">INDEX(Escalas!$C$6:$C$10,MATCH(F6,Escalas!$B$6:$B$10,0))</f>
        <v>0.5</v>
      </c>
      <c r="H6" s="23" t="s">
        <v>6</v>
      </c>
      <c r="I6" s="25" t="n">
        <f aca="false">INDEX(Escalas!$C$15:$C$19,MATCH(H6,Escalas!$B$15:$B$19,0))</f>
        <v>0.4</v>
      </c>
      <c r="J6" s="26" t="n">
        <f aca="false">G6*I6</f>
        <v>0.2</v>
      </c>
      <c r="K6" s="22" t="str">
        <f aca="false">IF(ROUND(J6,4)&gt;=0.18,"Alto",IF(ROUND(J6,4)&gt;0.05,"Medio","Bajo"))</f>
        <v>Alto</v>
      </c>
      <c r="L6" s="23" t="s">
        <v>73</v>
      </c>
      <c r="M6" s="24" t="s">
        <v>80</v>
      </c>
      <c r="N6" s="24" t="s">
        <v>81</v>
      </c>
      <c r="O6" s="24" t="s">
        <v>82</v>
      </c>
    </row>
    <row r="7" customFormat="false" ht="57.75" hidden="false" customHeight="true" outlineLevel="0" collapsed="false">
      <c r="B7" s="22" t="s">
        <v>83</v>
      </c>
      <c r="C7" s="23" t="s">
        <v>77</v>
      </c>
      <c r="D7" s="24" t="s">
        <v>84</v>
      </c>
      <c r="E7" s="24" t="s">
        <v>85</v>
      </c>
      <c r="F7" s="23" t="s">
        <v>7</v>
      </c>
      <c r="G7" s="25" t="n">
        <f aca="false">INDEX(Escalas!$C$6:$C$10,MATCH(F7,Escalas!$B$6:$B$10,0))</f>
        <v>0.5</v>
      </c>
      <c r="H7" s="23" t="s">
        <v>7</v>
      </c>
      <c r="I7" s="25" t="n">
        <f aca="false">INDEX(Escalas!$C$15:$C$19,MATCH(H7,Escalas!$B$15:$B$19,0))</f>
        <v>0.2</v>
      </c>
      <c r="J7" s="26" t="n">
        <f aca="false">G7*I7</f>
        <v>0.1</v>
      </c>
      <c r="K7" s="22" t="str">
        <f aca="false">IF(ROUND(J7,4)&gt;=0.18,"Alto",IF(ROUND(J7,4)&gt;0.05,"Medio","Bajo"))</f>
        <v>Medio</v>
      </c>
      <c r="L7" s="23" t="s">
        <v>73</v>
      </c>
      <c r="M7" s="24" t="s">
        <v>86</v>
      </c>
      <c r="N7" s="24" t="s">
        <v>87</v>
      </c>
      <c r="O7" s="24" t="s">
        <v>88</v>
      </c>
    </row>
    <row r="8" customFormat="false" ht="57.75" hidden="false" customHeight="true" outlineLevel="0" collapsed="false">
      <c r="B8" s="22" t="s">
        <v>89</v>
      </c>
      <c r="C8" s="23" t="s">
        <v>90</v>
      </c>
      <c r="D8" s="24" t="s">
        <v>91</v>
      </c>
      <c r="E8" s="24" t="s">
        <v>92</v>
      </c>
      <c r="F8" s="23" t="s">
        <v>7</v>
      </c>
      <c r="G8" s="25" t="n">
        <f aca="false">INDEX(Escalas!$C$6:$C$10,MATCH(F8,Escalas!$B$6:$B$10,0))</f>
        <v>0.5</v>
      </c>
      <c r="H8" s="23" t="s">
        <v>7</v>
      </c>
      <c r="I8" s="25" t="n">
        <f aca="false">INDEX(Escalas!$C$15:$C$19,MATCH(H8,Escalas!$B$15:$B$19,0))</f>
        <v>0.2</v>
      </c>
      <c r="J8" s="26" t="n">
        <f aca="false">G8*I8</f>
        <v>0.1</v>
      </c>
      <c r="K8" s="22" t="str">
        <f aca="false">IF(ROUND(J8,4)&gt;=0.18,"Alto",IF(ROUND(J8,4)&gt;0.05,"Medio","Bajo"))</f>
        <v>Medio</v>
      </c>
      <c r="L8" s="23" t="s">
        <v>73</v>
      </c>
      <c r="M8" s="24" t="s">
        <v>93</v>
      </c>
      <c r="N8" s="24" t="s">
        <v>81</v>
      </c>
      <c r="O8" s="24" t="s">
        <v>94</v>
      </c>
    </row>
    <row r="9" customFormat="false" ht="57.75" hidden="false" customHeight="true" outlineLevel="0" collapsed="false">
      <c r="B9" s="22" t="s">
        <v>95</v>
      </c>
      <c r="C9" s="23" t="s">
        <v>96</v>
      </c>
      <c r="D9" s="24" t="s">
        <v>97</v>
      </c>
      <c r="E9" s="24" t="s">
        <v>98</v>
      </c>
      <c r="F9" s="23" t="s">
        <v>6</v>
      </c>
      <c r="G9" s="25" t="n">
        <f aca="false">INDEX(Escalas!$C$6:$C$10,MATCH(F9,Escalas!$B$6:$B$10,0))</f>
        <v>0.7</v>
      </c>
      <c r="H9" s="23" t="s">
        <v>7</v>
      </c>
      <c r="I9" s="25" t="n">
        <f aca="false">INDEX(Escalas!$C$15:$C$19,MATCH(H9,Escalas!$B$15:$B$19,0))</f>
        <v>0.2</v>
      </c>
      <c r="J9" s="26" t="n">
        <f aca="false">G9*I9</f>
        <v>0.14</v>
      </c>
      <c r="K9" s="22" t="str">
        <f aca="false">IF(ROUND(J9,4)&gt;=0.18,"Alto",IF(ROUND(J9,4)&gt;0.05,"Medio","Bajo"))</f>
        <v>Medio</v>
      </c>
      <c r="L9" s="23" t="s">
        <v>73</v>
      </c>
      <c r="M9" s="24" t="s">
        <v>99</v>
      </c>
      <c r="N9" s="24" t="s">
        <v>75</v>
      </c>
      <c r="O9" s="24" t="s">
        <v>100</v>
      </c>
    </row>
    <row r="10" customFormat="false" ht="57.75" hidden="false" customHeight="true" outlineLevel="0" collapsed="false">
      <c r="B10" s="22" t="s">
        <v>101</v>
      </c>
      <c r="C10" s="23" t="s">
        <v>90</v>
      </c>
      <c r="D10" s="24" t="s">
        <v>102</v>
      </c>
      <c r="E10" s="24" t="s">
        <v>72</v>
      </c>
      <c r="F10" s="23" t="s">
        <v>8</v>
      </c>
      <c r="G10" s="25" t="n">
        <f aca="false">INDEX(Escalas!$C$6:$C$10,MATCH(F10,Escalas!$B$6:$B$10,0))</f>
        <v>0.3</v>
      </c>
      <c r="H10" s="23" t="s">
        <v>6</v>
      </c>
      <c r="I10" s="25" t="n">
        <f aca="false">INDEX(Escalas!$C$15:$C$19,MATCH(H10,Escalas!$B$15:$B$19,0))</f>
        <v>0.4</v>
      </c>
      <c r="J10" s="26" t="n">
        <f aca="false">G10*I10</f>
        <v>0.12</v>
      </c>
      <c r="K10" s="22" t="str">
        <f aca="false">IF(ROUND(J10,4)&gt;=0.18,"Alto",IF(ROUND(J10,4)&gt;0.05,"Medio","Bajo"))</f>
        <v>Medio</v>
      </c>
      <c r="L10" s="23" t="s">
        <v>73</v>
      </c>
      <c r="M10" s="24" t="s">
        <v>103</v>
      </c>
      <c r="N10" s="24" t="s">
        <v>104</v>
      </c>
      <c r="O10" s="24" t="s">
        <v>105</v>
      </c>
    </row>
    <row r="11" customFormat="false" ht="57.75" hidden="false" customHeight="true" outlineLevel="0" collapsed="false">
      <c r="B11" s="22" t="s">
        <v>106</v>
      </c>
      <c r="C11" s="23" t="s">
        <v>107</v>
      </c>
      <c r="D11" s="24" t="s">
        <v>108</v>
      </c>
      <c r="E11" s="24" t="s">
        <v>109</v>
      </c>
      <c r="F11" s="23" t="s">
        <v>8</v>
      </c>
      <c r="G11" s="25" t="n">
        <f aca="false">INDEX(Escalas!$C$6:$C$10,MATCH(F11,Escalas!$B$6:$B$10,0))</f>
        <v>0.3</v>
      </c>
      <c r="H11" s="23" t="s">
        <v>6</v>
      </c>
      <c r="I11" s="25" t="n">
        <f aca="false">INDEX(Escalas!$C$15:$C$19,MATCH(H11,Escalas!$B$15:$B$19,0))</f>
        <v>0.4</v>
      </c>
      <c r="J11" s="26" t="n">
        <f aca="false">G11*I11</f>
        <v>0.12</v>
      </c>
      <c r="K11" s="22" t="str">
        <f aca="false">IF(ROUND(J11,4)&gt;=0.18,"Alto",IF(ROUND(J11,4)&gt;0.05,"Medio","Bajo"))</f>
        <v>Medio</v>
      </c>
      <c r="L11" s="23" t="s">
        <v>73</v>
      </c>
      <c r="M11" s="24" t="s">
        <v>110</v>
      </c>
      <c r="N11" s="24" t="s">
        <v>87</v>
      </c>
      <c r="O11" s="24" t="s">
        <v>111</v>
      </c>
    </row>
    <row r="12" customFormat="false" ht="57.75" hidden="false" customHeight="true" outlineLevel="0" collapsed="false">
      <c r="B12" s="22" t="s">
        <v>112</v>
      </c>
      <c r="C12" s="23" t="s">
        <v>113</v>
      </c>
      <c r="D12" s="24" t="s">
        <v>114</v>
      </c>
      <c r="E12" s="24" t="s">
        <v>115</v>
      </c>
      <c r="F12" s="23" t="s">
        <v>6</v>
      </c>
      <c r="G12" s="25" t="n">
        <f aca="false">INDEX(Escalas!$C$6:$C$10,MATCH(F12,Escalas!$B$6:$B$10,0))</f>
        <v>0.7</v>
      </c>
      <c r="H12" s="23" t="s">
        <v>7</v>
      </c>
      <c r="I12" s="25" t="n">
        <f aca="false">INDEX(Escalas!$C$15:$C$19,MATCH(H12,Escalas!$B$15:$B$19,0))</f>
        <v>0.2</v>
      </c>
      <c r="J12" s="26" t="n">
        <f aca="false">G12*I12</f>
        <v>0.14</v>
      </c>
      <c r="K12" s="22" t="str">
        <f aca="false">IF(ROUND(J12,4)&gt;=0.18,"Alto",IF(ROUND(J12,4)&gt;0.05,"Medio","Bajo"))</f>
        <v>Medio</v>
      </c>
      <c r="L12" s="23" t="s">
        <v>116</v>
      </c>
      <c r="M12" s="24" t="s">
        <v>117</v>
      </c>
      <c r="N12" s="24" t="s">
        <v>75</v>
      </c>
      <c r="O12" s="24" t="s">
        <v>118</v>
      </c>
    </row>
    <row r="13" customFormat="false" ht="57.75" hidden="false" customHeight="true" outlineLevel="0" collapsed="false">
      <c r="B13" s="22" t="s">
        <v>18</v>
      </c>
      <c r="C13" s="23" t="s">
        <v>119</v>
      </c>
      <c r="D13" s="24" t="s">
        <v>120</v>
      </c>
      <c r="E13" s="24" t="s">
        <v>121</v>
      </c>
      <c r="F13" s="23" t="s">
        <v>8</v>
      </c>
      <c r="G13" s="25" t="n">
        <f aca="false">INDEX(Escalas!$C$6:$C$10,MATCH(F13,Escalas!$B$6:$B$10,0))</f>
        <v>0.3</v>
      </c>
      <c r="H13" s="23" t="s">
        <v>5</v>
      </c>
      <c r="I13" s="25" t="n">
        <f aca="false">INDEX(Escalas!$C$15:$C$19,MATCH(H13,Escalas!$B$15:$B$19,0))</f>
        <v>0.8</v>
      </c>
      <c r="J13" s="26" t="n">
        <f aca="false">G13*I13</f>
        <v>0.24</v>
      </c>
      <c r="K13" s="22" t="str">
        <f aca="false">IF(ROUND(J13,4)&gt;=0.18,"Alto",IF(ROUND(J13,4)&gt;0.05,"Medio","Bajo"))</f>
        <v>Alto</v>
      </c>
      <c r="L13" s="23" t="s">
        <v>73</v>
      </c>
      <c r="M13" s="24" t="s">
        <v>122</v>
      </c>
      <c r="N13" s="24" t="s">
        <v>81</v>
      </c>
      <c r="O13" s="24" t="s">
        <v>123</v>
      </c>
    </row>
    <row r="14" customFormat="false" ht="57.75" hidden="false" customHeight="true" outlineLevel="0" collapsed="false">
      <c r="B14" s="22" t="s">
        <v>19</v>
      </c>
      <c r="C14" s="23" t="s">
        <v>77</v>
      </c>
      <c r="D14" s="24" t="s">
        <v>124</v>
      </c>
      <c r="E14" s="24" t="s">
        <v>72</v>
      </c>
      <c r="F14" s="23" t="s">
        <v>9</v>
      </c>
      <c r="G14" s="25" t="n">
        <f aca="false">INDEX(Escalas!$C$6:$C$10,MATCH(F14,Escalas!$B$6:$B$10,0))</f>
        <v>0.1</v>
      </c>
      <c r="H14" s="23" t="s">
        <v>5</v>
      </c>
      <c r="I14" s="25" t="n">
        <f aca="false">INDEX(Escalas!$C$15:$C$19,MATCH(H14,Escalas!$B$15:$B$19,0))</f>
        <v>0.8</v>
      </c>
      <c r="J14" s="26" t="n">
        <f aca="false">G14*I14</f>
        <v>0.08</v>
      </c>
      <c r="K14" s="22" t="str">
        <f aca="false">IF(ROUND(J14,4)&gt;=0.18,"Alto",IF(ROUND(J14,4)&gt;0.05,"Medio","Bajo"))</f>
        <v>Medio</v>
      </c>
      <c r="L14" s="23" t="s">
        <v>73</v>
      </c>
      <c r="M14" s="24" t="s">
        <v>125</v>
      </c>
      <c r="N14" s="24" t="s">
        <v>87</v>
      </c>
      <c r="O14" s="24" t="s">
        <v>126</v>
      </c>
    </row>
    <row r="15" customFormat="false" ht="57.75" hidden="false" customHeight="true" outlineLevel="0" collapsed="false">
      <c r="B15" s="22" t="s">
        <v>16</v>
      </c>
      <c r="C15" s="23" t="s">
        <v>127</v>
      </c>
      <c r="D15" s="24" t="s">
        <v>128</v>
      </c>
      <c r="E15" s="24" t="s">
        <v>129</v>
      </c>
      <c r="F15" s="23" t="s">
        <v>8</v>
      </c>
      <c r="G15" s="25" t="n">
        <f aca="false">INDEX(Escalas!$C$6:$C$10,MATCH(F15,Escalas!$B$6:$B$10,0))</f>
        <v>0.3</v>
      </c>
      <c r="H15" s="23" t="s">
        <v>7</v>
      </c>
      <c r="I15" s="25" t="n">
        <f aca="false">INDEX(Escalas!$C$15:$C$19,MATCH(H15,Escalas!$B$15:$B$19,0))</f>
        <v>0.2</v>
      </c>
      <c r="J15" s="26" t="n">
        <f aca="false">G15*I15</f>
        <v>0.06</v>
      </c>
      <c r="K15" s="22" t="str">
        <f aca="false">IF(ROUND(J15,4)&gt;=0.18,"Alto",IF(ROUND(J15,4)&gt;0.05,"Medio","Bajo"))</f>
        <v>Medio</v>
      </c>
      <c r="L15" s="23" t="s">
        <v>73</v>
      </c>
      <c r="M15" s="24" t="s">
        <v>130</v>
      </c>
      <c r="N15" s="24" t="s">
        <v>75</v>
      </c>
      <c r="O15" s="24" t="s">
        <v>131</v>
      </c>
    </row>
    <row r="16" customFormat="false" ht="57.75" hidden="false" customHeight="true" outlineLevel="0" collapsed="false">
      <c r="B16" s="22" t="s">
        <v>132</v>
      </c>
      <c r="C16" s="23" t="s">
        <v>133</v>
      </c>
      <c r="D16" s="24" t="s">
        <v>134</v>
      </c>
      <c r="E16" s="24" t="s">
        <v>72</v>
      </c>
      <c r="F16" s="23" t="s">
        <v>7</v>
      </c>
      <c r="G16" s="25" t="n">
        <f aca="false">INDEX(Escalas!$C$6:$C$10,MATCH(F16,Escalas!$B$6:$B$10,0))</f>
        <v>0.5</v>
      </c>
      <c r="H16" s="23" t="s">
        <v>8</v>
      </c>
      <c r="I16" s="25" t="n">
        <f aca="false">INDEX(Escalas!$C$15:$C$19,MATCH(H16,Escalas!$B$15:$B$19,0))</f>
        <v>0.1</v>
      </c>
      <c r="J16" s="26" t="n">
        <f aca="false">G16*I16</f>
        <v>0.05</v>
      </c>
      <c r="K16" s="22" t="str">
        <f aca="false">IF(ROUND(J16,4)&gt;=0.18,"Alto",IF(ROUND(J16,4)&gt;0.05,"Medio","Bajo"))</f>
        <v>Bajo</v>
      </c>
      <c r="L16" s="23" t="s">
        <v>73</v>
      </c>
      <c r="M16" s="24" t="s">
        <v>135</v>
      </c>
      <c r="N16" s="24" t="s">
        <v>104</v>
      </c>
      <c r="O16" s="24" t="s">
        <v>136</v>
      </c>
    </row>
    <row r="17" customFormat="false" ht="57.75" hidden="false" customHeight="true" outlineLevel="0" collapsed="false">
      <c r="B17" s="22" t="s">
        <v>137</v>
      </c>
      <c r="C17" s="23" t="s">
        <v>77</v>
      </c>
      <c r="D17" s="24" t="s">
        <v>138</v>
      </c>
      <c r="E17" s="24" t="s">
        <v>129</v>
      </c>
      <c r="F17" s="23" t="s">
        <v>7</v>
      </c>
      <c r="G17" s="25" t="n">
        <f aca="false">INDEX(Escalas!$C$6:$C$10,MATCH(F17,Escalas!$B$6:$B$10,0))</f>
        <v>0.5</v>
      </c>
      <c r="H17" s="23" t="s">
        <v>8</v>
      </c>
      <c r="I17" s="25" t="n">
        <f aca="false">INDEX(Escalas!$C$15:$C$19,MATCH(H17,Escalas!$B$15:$B$19,0))</f>
        <v>0.1</v>
      </c>
      <c r="J17" s="26" t="n">
        <f aca="false">G17*I17</f>
        <v>0.05</v>
      </c>
      <c r="K17" s="22" t="str">
        <f aca="false">IF(ROUND(J17,4)&gt;=0.18,"Alto",IF(ROUND(J17,4)&gt;0.05,"Medio","Bajo"))</f>
        <v>Bajo</v>
      </c>
      <c r="L17" s="23" t="s">
        <v>116</v>
      </c>
      <c r="M17" s="24" t="s">
        <v>139</v>
      </c>
      <c r="N17" s="24" t="s">
        <v>87</v>
      </c>
      <c r="O17" s="24" t="s">
        <v>140</v>
      </c>
    </row>
    <row r="18" customFormat="false" ht="57.75" hidden="false" customHeight="true" outlineLevel="0" collapsed="false">
      <c r="B18" s="22" t="s">
        <v>141</v>
      </c>
      <c r="C18" s="23" t="s">
        <v>142</v>
      </c>
      <c r="D18" s="24" t="s">
        <v>143</v>
      </c>
      <c r="E18" s="24" t="s">
        <v>144</v>
      </c>
      <c r="F18" s="23" t="s">
        <v>7</v>
      </c>
      <c r="G18" s="25" t="n">
        <f aca="false">INDEX(Escalas!$C$6:$C$10,MATCH(F18,Escalas!$B$6:$B$10,0))</f>
        <v>0.5</v>
      </c>
      <c r="H18" s="23" t="s">
        <v>8</v>
      </c>
      <c r="I18" s="25" t="n">
        <f aca="false">INDEX(Escalas!$C$15:$C$19,MATCH(H18,Escalas!$B$15:$B$19,0))</f>
        <v>0.1</v>
      </c>
      <c r="J18" s="26" t="n">
        <f aca="false">G18*I18</f>
        <v>0.05</v>
      </c>
      <c r="K18" s="22" t="str">
        <f aca="false">IF(ROUND(J18,4)&gt;=0.18,"Alto",IF(ROUND(J18,4)&gt;0.05,"Medio","Bajo"))</f>
        <v>Bajo</v>
      </c>
      <c r="L18" s="23" t="s">
        <v>73</v>
      </c>
      <c r="M18" s="24" t="s">
        <v>145</v>
      </c>
      <c r="N18" s="24" t="s">
        <v>104</v>
      </c>
      <c r="O18" s="24" t="s">
        <v>146</v>
      </c>
    </row>
    <row r="20" customFormat="false" ht="15" hidden="false" customHeight="false" outlineLevel="0" collapsed="false">
      <c r="D20" s="27" t="s">
        <v>147</v>
      </c>
    </row>
    <row r="21" customFormat="false" ht="15" hidden="false" customHeight="false" outlineLevel="0" collapsed="false">
      <c r="D21" s="28" t="s">
        <v>6</v>
      </c>
      <c r="E21" s="5" t="n">
        <f aca="false">COUNTIF($K$5:$K$18,D21)</f>
        <v>3</v>
      </c>
    </row>
    <row r="22" customFormat="false" ht="15" hidden="false" customHeight="false" outlineLevel="0" collapsed="false">
      <c r="D22" s="29" t="s">
        <v>52</v>
      </c>
      <c r="E22" s="5" t="n">
        <f aca="false">COUNTIF($K$5:$K$18,D22)</f>
        <v>8</v>
      </c>
    </row>
    <row r="23" customFormat="false" ht="15" hidden="false" customHeight="false" outlineLevel="0" collapsed="false">
      <c r="D23" s="30" t="s">
        <v>8</v>
      </c>
      <c r="E23" s="5" t="n">
        <f aca="false">COUNTIF($K$5:$K$18,D23)</f>
        <v>3</v>
      </c>
    </row>
    <row r="24" customFormat="false" ht="15" hidden="false" customHeight="false" outlineLevel="0" collapsed="false">
      <c r="D24" s="4" t="s">
        <v>148</v>
      </c>
      <c r="E24" s="5" t="n">
        <f aca="false">SUM(E21:E23)</f>
        <v>14</v>
      </c>
    </row>
  </sheetData>
  <conditionalFormatting sqref="J5:K18">
    <cfRule type="expression" priority="2" aboveAverage="0" equalAverage="0" bottom="0" percent="0" rank="0" text="" dxfId="0">
      <formula>$K5="Alto"</formula>
    </cfRule>
    <cfRule type="expression" priority="3" aboveAverage="0" equalAverage="0" bottom="0" percent="0" rank="0" text="" dxfId="1">
      <formula>$K5="Medio"</formula>
    </cfRule>
    <cfRule type="expression" priority="4" aboveAverage="0" equalAverage="0" bottom="0" percent="0" rank="0" text="" dxfId="2">
      <formula>$K5="Bajo"</formula>
    </cfRule>
  </conditionalFormatting>
  <dataValidations count="2">
    <dataValidation allowBlank="false" errorStyle="stop" operator="between" showDropDown="false" showErrorMessage="false" showInputMessage="false" sqref="F5:F18 H5:H18" type="list">
      <formula1>"Muy Alto,Alto,Moderado,Bajo,Muy Bajo"</formula1>
      <formula2>0</formula2>
    </dataValidation>
    <dataValidation allowBlank="false" errorStyle="stop" operator="between" showDropDown="false" showErrorMessage="false" showInputMessage="false" sqref="L5:L18" type="list">
      <formula1>"Evitar,Mitigar,Transferir,Aceptar"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2026-10-16T12:25:04Z</dcterms:created>
  <dc:creator>openpyxl</dc:creator>
  <dc:description/>
  <dc:language>en-US</dc:language>
  <cp:lastModifiedBy/>
  <dcterms:modified xsi:type="dcterms:W3CDTF">2026-10-16T12:25:04Z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